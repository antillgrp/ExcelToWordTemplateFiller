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MailMerge\"/>
    </mc:Choice>
  </mc:AlternateContent>
  <bookViews>
    <workbookView xWindow="0" yWindow="0" windowWidth="20490" windowHeight="753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D7" i="1" l="1"/>
  <c r="I3" i="1" l="1"/>
  <c r="I4" i="1" s="1"/>
  <c r="I5" i="1" s="1"/>
  <c r="I6" i="1" s="1"/>
  <c r="I7" i="1" s="1"/>
  <c r="I8" i="1" s="1"/>
  <c r="H3" i="1"/>
  <c r="F4" i="1"/>
  <c r="F5" i="1" s="1"/>
  <c r="F6" i="1" s="1"/>
  <c r="F7" i="1" s="1"/>
  <c r="F8" i="1" s="1"/>
  <c r="E3" i="1"/>
  <c r="D3" i="1"/>
  <c r="K2" i="1"/>
  <c r="G2" i="1"/>
  <c r="L2" i="1" l="1"/>
  <c r="D4" i="1"/>
  <c r="D5" i="1" s="1"/>
  <c r="D6" i="1" s="1"/>
  <c r="G3" i="1"/>
  <c r="E4" i="1"/>
  <c r="E5" i="1" s="1"/>
  <c r="E6" i="1" s="1"/>
  <c r="E7" i="1" s="1"/>
  <c r="E8" i="1" s="1"/>
  <c r="K3" i="1"/>
  <c r="L3" i="1" s="1"/>
  <c r="H4" i="1"/>
  <c r="D8" i="1"/>
  <c r="M2" i="1"/>
  <c r="M3" i="1"/>
  <c r="G6" i="1" l="1"/>
  <c r="G5" i="1"/>
  <c r="G7" i="1"/>
  <c r="G4" i="1"/>
  <c r="L4" i="1" s="1"/>
  <c r="H5" i="1"/>
  <c r="K4" i="1"/>
  <c r="G8" i="1"/>
  <c r="M4" i="1"/>
  <c r="H6" i="1" l="1"/>
  <c r="K5" i="1"/>
  <c r="L5" i="1" s="1"/>
  <c r="M5" i="1"/>
  <c r="H7" i="1" l="1"/>
  <c r="K6" i="1"/>
  <c r="L6" i="1" s="1"/>
  <c r="M6" i="1"/>
  <c r="H8" i="1" l="1"/>
  <c r="K7" i="1"/>
  <c r="L7" i="1" s="1"/>
  <c r="M7" i="1"/>
  <c r="K8" i="1" l="1"/>
  <c r="L8" i="1" s="1"/>
  <c r="M8" i="1"/>
</calcChain>
</file>

<file path=xl/sharedStrings.xml><?xml version="1.0" encoding="utf-8"?>
<sst xmlns="http://schemas.openxmlformats.org/spreadsheetml/2006/main" count="27" uniqueCount="22">
  <si>
    <t>EMP ID</t>
  </si>
  <si>
    <t>Name</t>
  </si>
  <si>
    <t>Deignation</t>
  </si>
  <si>
    <t>Basic</t>
  </si>
  <si>
    <t>HRA</t>
  </si>
  <si>
    <t>Conveyance</t>
  </si>
  <si>
    <t>Total earnings</t>
  </si>
  <si>
    <t>PF</t>
  </si>
  <si>
    <t>TAX</t>
  </si>
  <si>
    <t>Prof. Tax</t>
  </si>
  <si>
    <t>Total Deductions</t>
  </si>
  <si>
    <t>Krishna</t>
  </si>
  <si>
    <t>Lead Engg.</t>
  </si>
  <si>
    <t>Senior Engg</t>
  </si>
  <si>
    <t>John</t>
  </si>
  <si>
    <t>Kate</t>
  </si>
  <si>
    <t>Raja</t>
  </si>
  <si>
    <t>Kristine</t>
  </si>
  <si>
    <t>Ashok S</t>
  </si>
  <si>
    <t>Phillips M</t>
  </si>
  <si>
    <t>Net Pay</t>
  </si>
  <si>
    <t>In words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</si>
</sst>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0" fillId="0" borderId="0" xfId="0" applyFill="1" applyBorder="1"/>
    <xf numFmtId="0" fontId="1" fillId="2" borderId="9" xfId="0" applyFont="1" applyFill="1" applyBorder="1"/>
    <xf numFmtId="1" fontId="0" fillId="0" borderId="4" xfId="0" applyNumberFormat="1" applyBorder="1"/>
    <xf numFmtId="1" fontId="0" fillId="0" borderId="5" xfId="0" applyNumberFormat="1" applyBorder="1"/>
    <xf numFmtId="1" fontId="0" fillId="0" borderId="0" xfId="0" applyNumberFormat="1" applyBorder="1"/>
    <xf numFmtId="0" fontId="1" fillId="2" borderId="0" xfId="0" applyFont="1" applyFill="1" applyBorder="1"/>
    <xf numFmtId="0" fontId="0" fillId="0" borderId="11" xfId="0" applyBorder="1"/>
    <xf numFmtId="1" fontId="1" fillId="0" borderId="10" xfId="0" applyNumberFormat="1" applyFont="1" applyBorder="1"/>
    <xf numFmtId="0" fontId="1" fillId="0" borderId="11" xfId="0" applyFont="1" applyBorder="1"/>
    <xf numFmtId="1" fontId="0" fillId="0" borderId="0" xfId="0" applyNumberFormat="1" applyFont="1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4"/>
  <sheetViews>
    <sheetView tabSelected="1" zoomScale="145" zoomScaleNormal="145" workbookViewId="0">
      <selection activeCell="A9" sqref="A9:M13"/>
    </sheetView>
  </sheetViews>
  <sheetFormatPr baseColWidth="10" defaultColWidth="13.5703125" defaultRowHeight="15" x14ac:dyDescent="0.25"/>
  <cols>
    <col min="1" max="1" width="7.7109375" customWidth="1"/>
    <col min="2" max="2" width="10.85546875" customWidth="1"/>
    <col min="3" max="3" width="12.42578125" customWidth="1"/>
    <col min="4" max="4" width="8" customWidth="1"/>
    <col min="5" max="5" width="11" customWidth="1"/>
    <col min="8" max="8" width="6.42578125" customWidth="1"/>
    <col min="9" max="9" width="9.28515625" customWidth="1"/>
    <col min="11" max="11" width="16" bestFit="1" customWidth="1"/>
    <col min="13" max="13" width="75.42578125" bestFit="1" customWidth="1"/>
  </cols>
  <sheetData>
    <row r="1" spans="1:13" ht="15.75" thickBot="1" x14ac:dyDescent="0.3">
      <c r="A1" s="1" t="s">
        <v>0</v>
      </c>
      <c r="B1" s="2" t="s">
        <v>1</v>
      </c>
      <c r="C1" s="3" t="s">
        <v>2</v>
      </c>
      <c r="D1" s="10" t="s">
        <v>3</v>
      </c>
      <c r="E1" s="11" t="s">
        <v>4</v>
      </c>
      <c r="F1" s="11" t="s">
        <v>5</v>
      </c>
      <c r="G1" s="11" t="s">
        <v>6</v>
      </c>
      <c r="H1" s="1" t="s">
        <v>7</v>
      </c>
      <c r="I1" s="2" t="s">
        <v>8</v>
      </c>
      <c r="J1" s="2" t="s">
        <v>9</v>
      </c>
      <c r="K1" s="3" t="s">
        <v>10</v>
      </c>
      <c r="L1" s="13" t="s">
        <v>20</v>
      </c>
      <c r="M1" s="17" t="s">
        <v>21</v>
      </c>
    </row>
    <row r="2" spans="1:13" ht="15.75" thickBot="1" x14ac:dyDescent="0.3">
      <c r="A2" s="4">
        <v>123</v>
      </c>
      <c r="B2" s="5" t="s">
        <v>11</v>
      </c>
      <c r="C2" s="6" t="s">
        <v>12</v>
      </c>
      <c r="D2" s="14">
        <v>34174</v>
      </c>
      <c r="E2" s="16">
        <v>13670</v>
      </c>
      <c r="F2" s="16">
        <v>26997</v>
      </c>
      <c r="G2" s="21">
        <f>SUM(D2:F2)</f>
        <v>74841</v>
      </c>
      <c r="H2" s="4">
        <v>4101</v>
      </c>
      <c r="I2" s="5">
        <v>5756</v>
      </c>
      <c r="J2" s="5">
        <v>200</v>
      </c>
      <c r="K2" s="15">
        <f>SUM(H2:J2)</f>
        <v>10057</v>
      </c>
      <c r="L2" s="19">
        <f>G2-K2</f>
        <v>64784</v>
      </c>
      <c r="M2" s="22" t="str">
        <f>ConvertCurrencyToEnglish(L2)</f>
        <v>Sixty Four Thousand Seven Hundred Eighty Four Rupees</v>
      </c>
    </row>
    <row r="3" spans="1:13" ht="15.75" thickBot="1" x14ac:dyDescent="0.3">
      <c r="A3" s="4">
        <v>124</v>
      </c>
      <c r="B3" s="5" t="s">
        <v>17</v>
      </c>
      <c r="C3" s="6" t="s">
        <v>12</v>
      </c>
      <c r="D3" s="14">
        <f>D2*90%</f>
        <v>30756.600000000002</v>
      </c>
      <c r="E3" s="16">
        <f t="shared" ref="E3:F3" si="0">E2*90%</f>
        <v>12303</v>
      </c>
      <c r="F3" s="16">
        <f t="shared" si="0"/>
        <v>24297.3</v>
      </c>
      <c r="G3" s="21">
        <f t="shared" ref="G3:G13" si="1">SUM(D3:F3)</f>
        <v>67356.900000000009</v>
      </c>
      <c r="H3" s="14">
        <f>H2*90%</f>
        <v>3690.9</v>
      </c>
      <c r="I3" s="16">
        <f t="shared" ref="I3:I7" si="2">I2*90%</f>
        <v>5180.4000000000005</v>
      </c>
      <c r="J3" s="5">
        <v>200</v>
      </c>
      <c r="K3" s="15">
        <f t="shared" ref="K3:K13" si="3">SUM(H3:J3)</f>
        <v>9071.3000000000011</v>
      </c>
      <c r="L3" s="19">
        <f t="shared" ref="L3:L13" si="4">G3-K3</f>
        <v>58285.600000000006</v>
      </c>
      <c r="M3" s="22" t="str">
        <f t="shared" ref="M3:M13" si="5">ConvertCurrencyToEnglish(L3)</f>
        <v>Fifty Eight Thousand Two Hundred Eighty Five Rupees And Sixty  Paise</v>
      </c>
    </row>
    <row r="4" spans="1:13" ht="15.75" thickBot="1" x14ac:dyDescent="0.3">
      <c r="A4" s="4">
        <v>125</v>
      </c>
      <c r="B4" s="5" t="s">
        <v>14</v>
      </c>
      <c r="C4" s="6" t="s">
        <v>12</v>
      </c>
      <c r="D4" s="14">
        <f t="shared" ref="D4:D6" si="6">D3*90%</f>
        <v>27680.940000000002</v>
      </c>
      <c r="E4" s="16">
        <f t="shared" ref="E4:E7" si="7">E3*90%</f>
        <v>11072.7</v>
      </c>
      <c r="F4" s="16">
        <f t="shared" ref="F4:F7" si="8">F3*90%</f>
        <v>21867.57</v>
      </c>
      <c r="G4" s="21">
        <f t="shared" si="1"/>
        <v>60621.21</v>
      </c>
      <c r="H4" s="14">
        <f t="shared" ref="H4:H7" si="9">H3*90%</f>
        <v>3321.81</v>
      </c>
      <c r="I4" s="16">
        <f t="shared" si="2"/>
        <v>4662.3600000000006</v>
      </c>
      <c r="J4" s="5">
        <v>200</v>
      </c>
      <c r="K4" s="15">
        <f t="shared" si="3"/>
        <v>8184.17</v>
      </c>
      <c r="L4" s="19">
        <f t="shared" si="4"/>
        <v>52437.04</v>
      </c>
      <c r="M4" s="22" t="str">
        <f t="shared" si="5"/>
        <v>Fifty Two Thousand Four Hundred Thirty Seven Rupees And Four Paise</v>
      </c>
    </row>
    <row r="5" spans="1:13" ht="15.75" thickBot="1" x14ac:dyDescent="0.3">
      <c r="A5" s="4">
        <v>126</v>
      </c>
      <c r="B5" s="12" t="s">
        <v>15</v>
      </c>
      <c r="C5" s="6" t="s">
        <v>12</v>
      </c>
      <c r="D5" s="14">
        <f t="shared" si="6"/>
        <v>24912.846000000001</v>
      </c>
      <c r="E5" s="16">
        <f t="shared" si="7"/>
        <v>9965.43</v>
      </c>
      <c r="F5" s="16">
        <f t="shared" si="8"/>
        <v>19680.813000000002</v>
      </c>
      <c r="G5" s="21">
        <f t="shared" si="1"/>
        <v>54559.089</v>
      </c>
      <c r="H5" s="14">
        <f t="shared" si="9"/>
        <v>2989.6289999999999</v>
      </c>
      <c r="I5" s="16">
        <f t="shared" si="2"/>
        <v>4196.1240000000007</v>
      </c>
      <c r="J5" s="5">
        <v>200</v>
      </c>
      <c r="K5" s="15">
        <f t="shared" si="3"/>
        <v>7385.7530000000006</v>
      </c>
      <c r="L5" s="19">
        <f t="shared" si="4"/>
        <v>47173.335999999996</v>
      </c>
      <c r="M5" s="22" t="str">
        <f t="shared" si="5"/>
        <v>Forty Seven Thousand One Hundred Seventy Three Rupees And Thirty Three Paise</v>
      </c>
    </row>
    <row r="6" spans="1:13" ht="15.75" thickBot="1" x14ac:dyDescent="0.3">
      <c r="A6" s="4">
        <v>127</v>
      </c>
      <c r="B6" s="12" t="s">
        <v>16</v>
      </c>
      <c r="C6" s="6" t="s">
        <v>12</v>
      </c>
      <c r="D6" s="14">
        <f t="shared" si="6"/>
        <v>22421.561400000002</v>
      </c>
      <c r="E6" s="16">
        <f t="shared" si="7"/>
        <v>8968.8870000000006</v>
      </c>
      <c r="F6" s="16">
        <f t="shared" si="8"/>
        <v>17712.731700000004</v>
      </c>
      <c r="G6" s="21">
        <f t="shared" si="1"/>
        <v>49103.180100000005</v>
      </c>
      <c r="H6" s="14">
        <f t="shared" si="9"/>
        <v>2690.6660999999999</v>
      </c>
      <c r="I6" s="16">
        <f t="shared" si="2"/>
        <v>3776.5116000000007</v>
      </c>
      <c r="J6" s="5">
        <v>200</v>
      </c>
      <c r="K6" s="15">
        <f t="shared" si="3"/>
        <v>6667.1777000000002</v>
      </c>
      <c r="L6" s="19">
        <f t="shared" si="4"/>
        <v>42436.002400000005</v>
      </c>
      <c r="M6" s="22" t="str">
        <f t="shared" si="5"/>
        <v>Forty Two Thousand Four Hundred Thirty Six Rupees</v>
      </c>
    </row>
    <row r="7" spans="1:13" ht="15.75" thickBot="1" x14ac:dyDescent="0.3">
      <c r="A7" s="4">
        <v>128</v>
      </c>
      <c r="B7" s="12" t="s">
        <v>18</v>
      </c>
      <c r="C7" s="6" t="s">
        <v>12</v>
      </c>
      <c r="D7" s="14">
        <f>D6*90%</f>
        <v>20179.405260000003</v>
      </c>
      <c r="E7" s="16">
        <f t="shared" si="7"/>
        <v>8071.9983000000011</v>
      </c>
      <c r="F7" s="16">
        <f t="shared" si="8"/>
        <v>15941.458530000004</v>
      </c>
      <c r="G7" s="21">
        <f t="shared" si="1"/>
        <v>44192.86209000001</v>
      </c>
      <c r="H7" s="14">
        <f t="shared" si="9"/>
        <v>2421.5994900000001</v>
      </c>
      <c r="I7" s="16">
        <f t="shared" si="2"/>
        <v>3398.8604400000008</v>
      </c>
      <c r="J7" s="5">
        <v>200</v>
      </c>
      <c r="K7" s="15">
        <f t="shared" si="3"/>
        <v>6020.4599300000009</v>
      </c>
      <c r="L7" s="19">
        <f t="shared" si="4"/>
        <v>38172.402160000012</v>
      </c>
      <c r="M7" s="22" t="str">
        <f t="shared" si="5"/>
        <v>Thirty Eight Thousand One Hundred Seventy Two Rupees And Forty  Paise</v>
      </c>
    </row>
    <row r="8" spans="1:13" ht="15.75" thickBot="1" x14ac:dyDescent="0.3">
      <c r="A8" s="4">
        <v>129</v>
      </c>
      <c r="B8" s="12" t="s">
        <v>19</v>
      </c>
      <c r="C8" s="6" t="s">
        <v>13</v>
      </c>
      <c r="D8" s="14">
        <f>D7*60%</f>
        <v>12107.643156000002</v>
      </c>
      <c r="E8" s="16">
        <f t="shared" ref="E8:F8" si="10">E7*60%</f>
        <v>4843.1989800000001</v>
      </c>
      <c r="F8" s="16">
        <f t="shared" si="10"/>
        <v>9564.8751180000017</v>
      </c>
      <c r="G8" s="21">
        <f t="shared" si="1"/>
        <v>26515.717254000003</v>
      </c>
      <c r="H8" s="14">
        <f>H7*60%</f>
        <v>1452.9596939999999</v>
      </c>
      <c r="I8" s="16">
        <f t="shared" ref="I8:I11" si="11">I7*60%</f>
        <v>2039.3162640000005</v>
      </c>
      <c r="J8" s="5">
        <v>200</v>
      </c>
      <c r="K8" s="15">
        <f t="shared" si="3"/>
        <v>3692.2759580000002</v>
      </c>
      <c r="L8" s="19">
        <f t="shared" si="4"/>
        <v>22823.441296000005</v>
      </c>
      <c r="M8" s="22" t="str">
        <f t="shared" si="5"/>
        <v>Twenty Two Thousand Eight Hundred Twenty Three Rupees And Forty Four Paise</v>
      </c>
    </row>
    <row r="9" spans="1:13" ht="15.75" thickBot="1" x14ac:dyDescent="0.3">
      <c r="A9" s="4"/>
      <c r="B9" s="12"/>
      <c r="C9" s="6"/>
      <c r="D9" s="14"/>
      <c r="E9" s="16"/>
      <c r="F9" s="16"/>
      <c r="G9" s="21"/>
      <c r="H9" s="14"/>
      <c r="I9" s="16"/>
      <c r="J9" s="5"/>
      <c r="K9" s="15"/>
      <c r="L9" s="19"/>
      <c r="M9" s="22"/>
    </row>
    <row r="10" spans="1:13" ht="15.75" thickBot="1" x14ac:dyDescent="0.3">
      <c r="A10" s="4"/>
      <c r="B10" s="12"/>
      <c r="C10" s="6"/>
      <c r="D10" s="14"/>
      <c r="E10" s="16"/>
      <c r="F10" s="16"/>
      <c r="G10" s="21"/>
      <c r="H10" s="14"/>
      <c r="I10" s="16"/>
      <c r="J10" s="5"/>
      <c r="K10" s="15"/>
      <c r="L10" s="19"/>
      <c r="M10" s="22"/>
    </row>
    <row r="11" spans="1:13" ht="15.75" thickBot="1" x14ac:dyDescent="0.3">
      <c r="A11" s="4"/>
      <c r="B11" s="12"/>
      <c r="C11" s="6"/>
      <c r="D11" s="14"/>
      <c r="E11" s="16"/>
      <c r="F11" s="16"/>
      <c r="G11" s="21"/>
      <c r="H11" s="14"/>
      <c r="I11" s="16"/>
      <c r="J11" s="5"/>
      <c r="K11" s="15"/>
      <c r="L11" s="19"/>
      <c r="M11" s="22"/>
    </row>
    <row r="12" spans="1:13" ht="15.75" thickBot="1" x14ac:dyDescent="0.3">
      <c r="A12" s="4"/>
      <c r="B12" s="12"/>
      <c r="C12" s="6"/>
      <c r="D12" s="14"/>
      <c r="E12" s="16"/>
      <c r="F12" s="16"/>
      <c r="G12" s="21"/>
      <c r="H12" s="14"/>
      <c r="I12" s="16"/>
      <c r="J12" s="5"/>
      <c r="K12" s="15"/>
      <c r="L12" s="19"/>
      <c r="M12" s="22"/>
    </row>
    <row r="13" spans="1:13" x14ac:dyDescent="0.25">
      <c r="A13" s="4"/>
      <c r="B13" s="12"/>
      <c r="C13" s="6"/>
      <c r="D13" s="14"/>
      <c r="E13" s="16"/>
      <c r="F13" s="16"/>
      <c r="G13" s="21"/>
      <c r="H13" s="14"/>
      <c r="I13" s="16"/>
      <c r="J13" s="5"/>
      <c r="K13" s="15"/>
      <c r="L13" s="19"/>
      <c r="M13" s="22"/>
    </row>
    <row r="14" spans="1:13" ht="15.75" thickBot="1" x14ac:dyDescent="0.3">
      <c r="A14" s="8"/>
      <c r="B14" s="8"/>
      <c r="C14" s="8"/>
      <c r="D14" s="7"/>
      <c r="E14" s="8"/>
      <c r="F14" s="8"/>
      <c r="G14" s="8"/>
      <c r="H14" s="7"/>
      <c r="I14" s="8"/>
      <c r="J14" s="8"/>
      <c r="K14" s="9"/>
      <c r="L14" s="20"/>
      <c r="M14" s="18"/>
    </row>
  </sheetData>
  <pageMargins left="0.7" right="0.7" top="0.75" bottom="0.75" header="0.3" footer="0.3"/>
  <pageSetup paperSize="0" orientation="portrait" horizontalDpi="0" verticalDpi="0" copies="0"/>
  <ignoredErrors>
    <ignoredError sqref="G2" formulaRange="1"/>
    <ignoredError sqref="G3:G8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</dc:creator>
  <cp:lastModifiedBy>admin</cp:lastModifiedBy>
  <dcterms:created xsi:type="dcterms:W3CDTF">2017-04-30T10:52:25Z</dcterms:created>
  <dcterms:modified xsi:type="dcterms:W3CDTF">2018-08-17T04:47:59Z</dcterms:modified>
</cp:coreProperties>
</file>